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062ef0b6093a44/Documenti/Uni/QF/Credit derivatives/Assignment/data/raw/"/>
    </mc:Choice>
  </mc:AlternateContent>
  <xr:revisionPtr revIDLastSave="1" documentId="13_ncr:1_{7EC56965-4D77-4C9C-9B0D-FBA4994D9807}" xr6:coauthVersionLast="47" xr6:coauthVersionMax="47" xr10:uidLastSave="{C36F348A-E20F-4296-BB96-81103D3C3C0E}"/>
  <bookViews>
    <workbookView xWindow="4308" yWindow="5124" windowWidth="17280" windowHeight="8880" activeTab="2" xr2:uid="{D28E9BA4-4557-4B46-B1A0-6510D1B70C36}"/>
  </bookViews>
  <sheets>
    <sheet name="CDS spread_2023" sheetId="1" r:id="rId1"/>
    <sheet name="CDS spread_2025" sheetId="3" r:id="rId2"/>
    <sheet name="swap curve" sheetId="4" r:id="rId3"/>
  </sheets>
  <definedNames>
    <definedName name="solver_adj" localSheetId="2" hidden="1">'swap curve'!$B$26:$B$31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0" localSheetId="2" hidden="1">'swap curve'!$B$30</definedName>
    <definedName name="solver_lhs1" localSheetId="2" hidden="1">'swap curve'!$B$26</definedName>
    <definedName name="solver_lhs2" localSheetId="2" hidden="1">'swap curve'!$B$29</definedName>
    <definedName name="solver_lhs3" localSheetId="2" hidden="1">'swap curve'!$B$30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'swap curve'!$E$23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3</definedName>
    <definedName name="solver_rel2" localSheetId="2" hidden="1">3</definedName>
    <definedName name="solver_rel3" localSheetId="2" hidden="1">3</definedName>
    <definedName name="solver_rhs0" localSheetId="2" hidden="1">0</definedName>
    <definedName name="solver_rhs1" localSheetId="2" hidden="1">0.0000000001</definedName>
    <definedName name="solver_rhs2" localSheetId="2" hidden="1">0.0000000001</definedName>
    <definedName name="solver_rhs3" localSheetId="2" hidden="1">0.0000000001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A4" i="4"/>
  <c r="H4" i="4"/>
  <c r="C5" i="4"/>
  <c r="H5" i="4"/>
  <c r="C6" i="4"/>
  <c r="H6" i="4"/>
  <c r="C7" i="4"/>
  <c r="H7" i="4"/>
  <c r="D8" i="4"/>
  <c r="E8" i="4" s="1"/>
  <c r="H8" i="4"/>
  <c r="D9" i="4"/>
  <c r="E9" i="4" s="1"/>
  <c r="H9" i="4"/>
  <c r="D10" i="4"/>
  <c r="E10" i="4" s="1"/>
  <c r="H10" i="4"/>
  <c r="D11" i="4"/>
  <c r="E11" i="4"/>
  <c r="H11" i="4"/>
  <c r="D12" i="4"/>
  <c r="E12" i="4"/>
  <c r="H12" i="4"/>
  <c r="D13" i="4"/>
  <c r="E13" i="4"/>
  <c r="H13" i="4"/>
  <c r="D14" i="4"/>
  <c r="E14" i="4"/>
  <c r="H14" i="4"/>
  <c r="D15" i="4"/>
  <c r="E15" i="4"/>
  <c r="H15" i="4"/>
  <c r="D16" i="4"/>
  <c r="E16" i="4"/>
  <c r="H16" i="4"/>
  <c r="D17" i="4"/>
  <c r="E17" i="4"/>
  <c r="H17" i="4"/>
  <c r="D18" i="4"/>
  <c r="E18" i="4" s="1"/>
  <c r="H18" i="4"/>
  <c r="D19" i="4"/>
  <c r="E19" i="4"/>
  <c r="H19" i="4"/>
  <c r="D20" i="4"/>
  <c r="E20" i="4" s="1"/>
  <c r="H20" i="4"/>
  <c r="D21" i="4"/>
  <c r="E21" i="4" s="1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E23" i="4" l="1"/>
</calcChain>
</file>

<file path=xl/sharedStrings.xml><?xml version="1.0" encoding="utf-8"?>
<sst xmlns="http://schemas.openxmlformats.org/spreadsheetml/2006/main" count="31" uniqueCount="19">
  <si>
    <t>Banco Santander</t>
  </si>
  <si>
    <t>Eni</t>
  </si>
  <si>
    <t>Ziggo</t>
  </si>
  <si>
    <t>Lufthansa</t>
  </si>
  <si>
    <t>Renault</t>
  </si>
  <si>
    <t>Allianz</t>
  </si>
  <si>
    <t>Date</t>
  </si>
  <si>
    <t>quotations in bps</t>
  </si>
  <si>
    <t>CDS spread --&gt; makes the CDS fair at inception</t>
  </si>
  <si>
    <t>Swap rates (in %)</t>
  </si>
  <si>
    <t>Maturity</t>
  </si>
  <si>
    <t>b3</t>
  </si>
  <si>
    <t>t2</t>
  </si>
  <si>
    <t>t1</t>
  </si>
  <si>
    <t>b2</t>
  </si>
  <si>
    <t>b1</t>
  </si>
  <si>
    <t>b0</t>
  </si>
  <si>
    <t>NSS model</t>
  </si>
  <si>
    <t>s_errors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</si>
</sst>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0"/>
      <name val="Arial"/>
      <family val="2"/>
    </font>
    <font>
      <b/>
      <sz val="12"/>
      <name val="Arial"/>
      <family val="2"/>
    </font>
    <font>
      <b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40">
    <xf numFmtId="0" fontId="0" fillId="0" borderId="0" xfId="0"/>
    <xf numFmtId="3" fontId="2" fillId="0" borderId="0" xfId="0" applyNumberFormat="1" applyFont="1"/>
    <xf numFmtId="0" fontId="0" fillId="0" borderId="3" xfId="0" applyBorder="1"/>
    <xf numFmtId="0" fontId="0" fillId="0" borderId="4" xfId="0" applyBorder="1"/>
    <xf numFmtId="3" fontId="2" fillId="0" borderId="4" xfId="0" applyNumberFormat="1" applyFont="1" applyBorder="1"/>
    <xf numFmtId="0" fontId="0" fillId="0" borderId="5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0" xfId="1" applyAlignment="1" applyProtection="1"/>
    <xf numFmtId="0" fontId="3" fillId="0" borderId="11" xfId="1" applyBorder="1">
      <alignment vertical="top"/>
      <protection locked="0"/>
    </xf>
    <xf numFmtId="0" fontId="3" fillId="0" borderId="10" xfId="1" applyBorder="1">
      <alignment vertical="top"/>
      <protection locked="0"/>
    </xf>
    <xf numFmtId="0" fontId="3" fillId="0" borderId="2" xfId="1" applyBorder="1">
      <alignment vertical="top"/>
      <protection locked="0"/>
    </xf>
    <xf numFmtId="0" fontId="3" fillId="0" borderId="9" xfId="1" applyBorder="1">
      <alignment vertical="top"/>
      <protection locked="0"/>
    </xf>
    <xf numFmtId="0" fontId="3" fillId="0" borderId="8" xfId="1" applyBorder="1">
      <alignment vertical="top"/>
      <protection locked="0"/>
    </xf>
    <xf numFmtId="0" fontId="4" fillId="0" borderId="1" xfId="1" applyFont="1" applyBorder="1">
      <alignment vertical="top"/>
      <protection locked="0"/>
    </xf>
    <xf numFmtId="14" fontId="3" fillId="0" borderId="0" xfId="1" applyNumberFormat="1" applyAlignment="1" applyProtection="1"/>
    <xf numFmtId="3" fontId="0" fillId="0" borderId="0" xfId="0" applyNumberFormat="1"/>
    <xf numFmtId="14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4" fontId="2" fillId="0" borderId="0" xfId="0" applyNumberFormat="1" applyFont="1"/>
    <xf numFmtId="4" fontId="2" fillId="0" borderId="6" xfId="0" applyNumberFormat="1" applyFont="1" applyBorder="1"/>
    <xf numFmtId="4" fontId="2" fillId="0" borderId="7" xfId="0" applyNumberFormat="1" applyFont="1" applyBorder="1"/>
    <xf numFmtId="4" fontId="2" fillId="0" borderId="8" xfId="0" applyNumberFormat="1" applyFont="1" applyBorder="1"/>
    <xf numFmtId="4" fontId="2" fillId="0" borderId="9" xfId="0" applyNumberFormat="1" applyFont="1" applyBorder="1"/>
    <xf numFmtId="4" fontId="2" fillId="0" borderId="2" xfId="0" applyNumberFormat="1" applyFont="1" applyBorder="1"/>
    <xf numFmtId="4" fontId="2" fillId="0" borderId="10" xfId="0" applyNumberFormat="1" applyFont="1" applyBorder="1"/>
    <xf numFmtId="4" fontId="2" fillId="0" borderId="1" xfId="0" applyNumberFormat="1" applyFont="1" applyBorder="1"/>
    <xf numFmtId="4" fontId="2" fillId="0" borderId="11" xfId="0" applyNumberFormat="1" applyFont="1" applyBorder="1"/>
    <xf numFmtId="4" fontId="0" fillId="0" borderId="15" xfId="0" applyNumberFormat="1" applyBorder="1"/>
    <xf numFmtId="4" fontId="0" fillId="0" borderId="0" xfId="0" applyNumberFormat="1"/>
    <xf numFmtId="4" fontId="0" fillId="0" borderId="16" xfId="0" applyNumberFormat="1" applyBorder="1"/>
    <xf numFmtId="4" fontId="0" fillId="0" borderId="17" xfId="0" applyNumberFormat="1" applyBorder="1"/>
    <xf numFmtId="4" fontId="0" fillId="0" borderId="18" xfId="0" applyNumberFormat="1" applyBorder="1"/>
    <xf numFmtId="4" fontId="0" fillId="0" borderId="19" xfId="0" applyNumberFormat="1" applyBorder="1"/>
    <xf numFmtId="164" fontId="3" fillId="0" borderId="0" xfId="1" applyNumberFormat="1" applyAlignment="1" applyProtection="1"/>
    <xf numFmtId="0" fontId="5" fillId="0" borderId="0" xfId="0" applyFont="1" applyAlignment="1">
      <alignment horizontal="center"/>
    </xf>
    <xf numFmtId="2" fontId="3" fillId="0" borderId="6" xfId="1" applyNumberFormat="1" applyBorder="1">
      <alignment vertical="top"/>
      <protection locked="0"/>
    </xf>
  </cellXfs>
  <cellStyles count="2">
    <cellStyle name="Normale" xfId="0" builtinId="0"/>
    <cellStyle name="Normale 2" xfId="1" xr:uid="{385CCBD7-8EE2-8843-A4CF-F79A189D9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'swap curve'!$H$3</c:f>
              <c:strCache>
                <c:ptCount val="1"/>
                <c:pt idx="0">
                  <c:v>NSS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'swap curve'!$G$4:$G$33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'swap curve'!$H$4:$H$33</c:f>
              <c:numCache>
                <c:formatCode>0.0000000</c:formatCode>
                <c:ptCount val="30"/>
                <c:pt idx="0">
                  <c:v>3.2327294803469395</c:v>
                </c:pt>
                <c:pt idx="1">
                  <c:v>2.8540467855311089</c:v>
                </c:pt>
                <c:pt idx="2">
                  <c:v>2.6122245647754587</c:v>
                </c:pt>
                <c:pt idx="3">
                  <c:v>2.465268077997838</c:v>
                </c:pt>
                <c:pt idx="4">
                  <c:v>2.38267356667264</c:v>
                </c:pt>
                <c:pt idx="5">
                  <c:v>2.3428540768277779</c:v>
                </c:pt>
                <c:pt idx="6">
                  <c:v>2.3307797258652583</c:v>
                </c:pt>
                <c:pt idx="7">
                  <c:v>2.3360976142361105</c:v>
                </c:pt>
                <c:pt idx="8">
                  <c:v>2.3517320081205502</c:v>
                </c:pt>
                <c:pt idx="9">
                  <c:v>2.3728804581851621</c:v>
                </c:pt>
                <c:pt idx="10">
                  <c:v>2.3963093375427924</c:v>
                </c:pt>
                <c:pt idx="11">
                  <c:v>2.4198655535386844</c:v>
                </c:pt>
                <c:pt idx="12">
                  <c:v>2.4421401986570315</c:v>
                </c:pt>
                <c:pt idx="13">
                  <c:v>2.4622373336130505</c:v>
                </c:pt>
                <c:pt idx="14">
                  <c:v>2.4796148970621443</c:v>
                </c:pt>
                <c:pt idx="15">
                  <c:v>2.4939749179336741</c:v>
                </c:pt>
                <c:pt idx="16">
                  <c:v>2.5051874242513881</c:v>
                </c:pt>
                <c:pt idx="17">
                  <c:v>2.513237438846244</c:v>
                </c:pt>
                <c:pt idx="18">
                  <c:v>2.5181878622416107</c:v>
                </c:pt>
                <c:pt idx="19">
                  <c:v>2.5201533514421643</c:v>
                </c:pt>
                <c:pt idx="20">
                  <c:v>2.51928186045286</c:v>
                </c:pt>
                <c:pt idx="21">
                  <c:v>2.5157415581919307</c:v>
                </c:pt>
                <c:pt idx="22">
                  <c:v>2.5097115487312003</c:v>
                </c:pt>
                <c:pt idx="23">
                  <c:v>2.5013752998742227</c:v>
                </c:pt>
                <c:pt idx="24">
                  <c:v>2.4909160141656468</c:v>
                </c:pt>
                <c:pt idx="25">
                  <c:v>2.4785134016524495</c:v>
                </c:pt>
                <c:pt idx="26">
                  <c:v>2.4643414694948689</c:v>
                </c:pt>
                <c:pt idx="27">
                  <c:v>2.4485670521421765</c:v>
                </c:pt>
                <c:pt idx="28">
                  <c:v>2.4313488821677161</c:v>
                </c:pt>
                <c:pt idx="29">
                  <c:v>2.4128370560344825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3-4867-B83E-C157D7A24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549504"/>
        <c:axId val="1764550464"/>
      </c:lineChart>
      <c:catAx>
        <c:axId val="176454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550464"/>
        <c:crosses val="autoZero"/>
        <c:auto val="1"/>
        <c:lblAlgn val="ctr"/>
        <c:lblOffset val="100"/>
        <c:noMultiLvlLbl val="0"/>
      </c:catAx>
      <c:valAx>
        <c:axId val="176455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54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202882</xdr:colOff>
      <xdr:row>5</xdr:row>
      <xdr:rowOff>169545</xdr:rowOff>
    </xdr:from>
    <xdr:to>
      <xdr:col>11</xdr:col>
      <xdr:colOff>732472</xdr:colOff>
      <xdr:row>20</xdr:row>
      <xdr:rowOff>55245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C1BC673-17DC-4D30-B581-C436FD60B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5C0-9EBB-C64B-A016-C1201E00FA93}">
  <dimension ref="A1:Q16"/>
  <sheetViews>
    <sheetView workbookViewId="0">
      <selection activeCell="J8" sqref="J8"/>
    </sheetView>
  </sheetViews>
  <sheetFormatPr defaultColWidth="11.19921875" defaultRowHeight="15.6" x14ac:dyDescent="0.3"/>
  <cols>
    <col min="3" max="3" width="15" bestFit="1" customWidth="1"/>
  </cols>
  <sheetData>
    <row r="1" spans="1:17" x14ac:dyDescent="0.3">
      <c r="A1" s="9" t="s">
        <v>6</v>
      </c>
      <c r="B1" s="16">
        <v>45042</v>
      </c>
    </row>
    <row r="2" spans="1:17" x14ac:dyDescent="0.3">
      <c r="C2" s="6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8" t="s">
        <v>5</v>
      </c>
    </row>
    <row r="3" spans="1:17" x14ac:dyDescent="0.3">
      <c r="B3" s="2">
        <v>0.5</v>
      </c>
      <c r="C3" s="23">
        <v>24.13</v>
      </c>
      <c r="D3" s="24">
        <v>19.57</v>
      </c>
      <c r="E3" s="24">
        <v>93.56</v>
      </c>
      <c r="F3" s="24">
        <v>93</v>
      </c>
      <c r="G3" s="24">
        <v>73.16</v>
      </c>
      <c r="H3" s="25">
        <v>14.84</v>
      </c>
      <c r="I3" s="1"/>
      <c r="J3" s="22"/>
      <c r="K3" s="22"/>
      <c r="L3" s="22"/>
      <c r="M3" s="22"/>
      <c r="N3" s="22"/>
      <c r="O3" s="22"/>
      <c r="P3" s="1"/>
      <c r="Q3" s="1"/>
    </row>
    <row r="4" spans="1:17" x14ac:dyDescent="0.3">
      <c r="B4" s="3">
        <v>1</v>
      </c>
      <c r="C4" s="26">
        <v>30.28</v>
      </c>
      <c r="D4" s="22">
        <v>26.84</v>
      </c>
      <c r="E4" s="22">
        <v>134.26</v>
      </c>
      <c r="F4" s="22">
        <v>119.94</v>
      </c>
      <c r="G4" s="22">
        <v>83.13</v>
      </c>
      <c r="H4" s="27">
        <v>20.11</v>
      </c>
      <c r="I4" s="1"/>
      <c r="J4" s="22"/>
      <c r="K4" s="22"/>
      <c r="L4" s="22"/>
      <c r="M4" s="22"/>
      <c r="N4" s="22"/>
      <c r="O4" s="22"/>
      <c r="P4" s="1"/>
      <c r="Q4" s="1"/>
    </row>
    <row r="5" spans="1:17" x14ac:dyDescent="0.3">
      <c r="B5" s="3">
        <v>2</v>
      </c>
      <c r="C5" s="26">
        <v>40.799999999999997</v>
      </c>
      <c r="D5" s="22">
        <v>39.6</v>
      </c>
      <c r="E5" s="22">
        <v>208.92</v>
      </c>
      <c r="F5" s="22">
        <v>139.83000000000001</v>
      </c>
      <c r="G5" s="22">
        <v>150.59</v>
      </c>
      <c r="H5" s="27">
        <v>27.43</v>
      </c>
      <c r="I5" s="1"/>
      <c r="J5" s="22"/>
      <c r="K5" s="22"/>
      <c r="L5" s="22"/>
      <c r="M5" s="22"/>
      <c r="N5" s="22"/>
      <c r="O5" s="22"/>
      <c r="P5" s="1"/>
      <c r="Q5" s="1"/>
    </row>
    <row r="6" spans="1:17" x14ac:dyDescent="0.3">
      <c r="B6" s="4">
        <v>3</v>
      </c>
      <c r="C6" s="26">
        <v>51.23</v>
      </c>
      <c r="D6" s="22">
        <v>52.19</v>
      </c>
      <c r="E6" s="22">
        <v>292.94</v>
      </c>
      <c r="F6" s="22">
        <v>159.55000000000001</v>
      </c>
      <c r="G6" s="22">
        <v>215.88</v>
      </c>
      <c r="H6" s="27">
        <v>34.67</v>
      </c>
      <c r="I6" s="1"/>
      <c r="J6" s="22"/>
      <c r="K6" s="22"/>
      <c r="L6" s="22"/>
      <c r="M6" s="22"/>
      <c r="N6" s="22"/>
      <c r="O6" s="22"/>
      <c r="P6" s="1"/>
      <c r="Q6" s="1"/>
    </row>
    <row r="7" spans="1:17" x14ac:dyDescent="0.3">
      <c r="B7" s="3">
        <v>4</v>
      </c>
      <c r="C7" s="26">
        <v>61.9</v>
      </c>
      <c r="D7" s="22">
        <v>65.31</v>
      </c>
      <c r="E7" s="22">
        <v>372.71</v>
      </c>
      <c r="F7" s="22">
        <v>198.29</v>
      </c>
      <c r="G7" s="22">
        <v>273.44</v>
      </c>
      <c r="H7" s="27">
        <v>41.52</v>
      </c>
      <c r="I7" s="1"/>
      <c r="J7" s="22"/>
      <c r="K7" s="22"/>
      <c r="L7" s="22"/>
      <c r="M7" s="22"/>
      <c r="N7" s="22"/>
      <c r="O7" s="22"/>
      <c r="P7" s="1"/>
      <c r="Q7" s="1"/>
    </row>
    <row r="8" spans="1:17" x14ac:dyDescent="0.3">
      <c r="B8" s="3">
        <v>5</v>
      </c>
      <c r="C8" s="26">
        <v>72.59</v>
      </c>
      <c r="D8" s="22">
        <v>78.209999999999994</v>
      </c>
      <c r="E8" s="22">
        <v>446.77</v>
      </c>
      <c r="F8" s="22">
        <v>236.07</v>
      </c>
      <c r="G8" s="22">
        <v>327.82</v>
      </c>
      <c r="H8" s="27">
        <v>48.29</v>
      </c>
      <c r="I8" s="1"/>
      <c r="J8" s="22"/>
      <c r="K8" s="22"/>
      <c r="L8" s="22"/>
      <c r="M8" s="22"/>
      <c r="N8" s="22"/>
      <c r="O8" s="22"/>
      <c r="P8" s="1"/>
      <c r="Q8" s="1"/>
    </row>
    <row r="9" spans="1:17" x14ac:dyDescent="0.3">
      <c r="B9" s="3">
        <v>7</v>
      </c>
      <c r="C9" s="26">
        <v>85.03</v>
      </c>
      <c r="D9" s="22">
        <v>100.98</v>
      </c>
      <c r="E9" s="22">
        <v>527.17999999999995</v>
      </c>
      <c r="F9" s="22">
        <v>269.5</v>
      </c>
      <c r="G9" s="22">
        <v>395.74</v>
      </c>
      <c r="H9" s="27">
        <v>58.35</v>
      </c>
      <c r="I9" s="1"/>
      <c r="J9" s="22"/>
      <c r="K9" s="22"/>
      <c r="L9" s="22"/>
      <c r="M9" s="22"/>
      <c r="N9" s="22"/>
      <c r="O9" s="22"/>
      <c r="P9" s="1"/>
      <c r="Q9" s="1"/>
    </row>
    <row r="10" spans="1:17" x14ac:dyDescent="0.3">
      <c r="B10" s="4">
        <v>10</v>
      </c>
      <c r="C10" s="26">
        <v>95.67</v>
      </c>
      <c r="D10" s="22">
        <v>122.46</v>
      </c>
      <c r="E10" s="22">
        <v>574.23</v>
      </c>
      <c r="F10" s="22">
        <v>291.57</v>
      </c>
      <c r="G10" s="22">
        <v>413.03</v>
      </c>
      <c r="H10" s="27">
        <v>68.86</v>
      </c>
      <c r="I10" s="1"/>
      <c r="J10" s="22"/>
      <c r="K10" s="22"/>
      <c r="L10" s="22"/>
      <c r="M10" s="22"/>
      <c r="N10" s="22"/>
      <c r="O10" s="22"/>
      <c r="P10" s="1"/>
      <c r="Q10" s="1"/>
    </row>
    <row r="11" spans="1:17" x14ac:dyDescent="0.3">
      <c r="B11" s="3">
        <v>20</v>
      </c>
      <c r="C11" s="26">
        <v>106.92</v>
      </c>
      <c r="D11" s="22">
        <v>144.56</v>
      </c>
      <c r="E11" s="22">
        <v>612.04999999999995</v>
      </c>
      <c r="F11" s="22">
        <v>313.45</v>
      </c>
      <c r="G11" s="22">
        <v>430.26</v>
      </c>
      <c r="H11" s="27">
        <v>80.010000000000005</v>
      </c>
      <c r="I11" s="1"/>
      <c r="J11" s="22"/>
      <c r="K11" s="22"/>
      <c r="L11" s="22"/>
      <c r="M11" s="22"/>
      <c r="N11" s="22"/>
      <c r="O11" s="22"/>
      <c r="P11" s="1"/>
      <c r="Q11" s="1"/>
    </row>
    <row r="12" spans="1:17" x14ac:dyDescent="0.3">
      <c r="B12" s="5">
        <v>30</v>
      </c>
      <c r="C12" s="28">
        <v>115.57</v>
      </c>
      <c r="D12" s="29">
        <v>160.36000000000001</v>
      </c>
      <c r="E12" s="29">
        <v>621.79999999999995</v>
      </c>
      <c r="F12" s="29">
        <v>325.45999999999998</v>
      </c>
      <c r="G12" s="29">
        <v>436.88</v>
      </c>
      <c r="H12" s="30">
        <v>88.96</v>
      </c>
      <c r="I12" s="1"/>
      <c r="J12" s="22"/>
      <c r="K12" s="22"/>
      <c r="L12" s="22"/>
      <c r="M12" s="22"/>
      <c r="N12" s="22"/>
      <c r="O12" s="22"/>
      <c r="P12" s="1"/>
      <c r="Q12" s="1"/>
    </row>
    <row r="15" spans="1:17" x14ac:dyDescent="0.3">
      <c r="A15" t="s">
        <v>7</v>
      </c>
    </row>
    <row r="16" spans="1:17" x14ac:dyDescent="0.3">
      <c r="A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FC44-A340-4951-BAF4-0E0FCDA1C1EA}">
  <dimension ref="A1:P16"/>
  <sheetViews>
    <sheetView workbookViewId="0">
      <selection activeCell="D19" sqref="D19"/>
    </sheetView>
  </sheetViews>
  <sheetFormatPr defaultRowHeight="15.6" x14ac:dyDescent="0.3"/>
  <cols>
    <col min="1" max="2" width="10.5" bestFit="1" customWidth="1"/>
    <col min="5" max="5" width="30.19921875" bestFit="1" customWidth="1"/>
    <col min="10" max="10" width="9.8984375" bestFit="1" customWidth="1"/>
  </cols>
  <sheetData>
    <row r="1" spans="1:16" ht="16.2" thickBot="1" x14ac:dyDescent="0.35">
      <c r="A1" t="s">
        <v>6</v>
      </c>
      <c r="B1" s="18">
        <v>45861</v>
      </c>
    </row>
    <row r="2" spans="1:16" ht="16.2" thickBot="1" x14ac:dyDescent="0.35">
      <c r="C2" s="19" t="s">
        <v>0</v>
      </c>
      <c r="D2" s="20" t="s">
        <v>1</v>
      </c>
      <c r="E2" s="20" t="s">
        <v>3</v>
      </c>
      <c r="F2" s="20" t="s">
        <v>4</v>
      </c>
      <c r="G2" s="21" t="s">
        <v>5</v>
      </c>
    </row>
    <row r="3" spans="1:16" x14ac:dyDescent="0.3">
      <c r="B3" s="2">
        <v>0.5</v>
      </c>
      <c r="C3" s="31">
        <v>14.05</v>
      </c>
      <c r="D3" s="32">
        <v>15.43</v>
      </c>
      <c r="E3" s="32">
        <v>28.49</v>
      </c>
      <c r="F3" s="32">
        <v>26.01</v>
      </c>
      <c r="G3" s="33">
        <v>7.05</v>
      </c>
      <c r="J3" s="17"/>
      <c r="K3" s="17"/>
      <c r="L3" s="17"/>
      <c r="M3" s="17"/>
      <c r="N3" s="17"/>
      <c r="O3" s="17"/>
      <c r="P3" s="17"/>
    </row>
    <row r="4" spans="1:16" x14ac:dyDescent="0.3">
      <c r="B4" s="3">
        <v>1</v>
      </c>
      <c r="C4" s="31">
        <v>16.53</v>
      </c>
      <c r="D4" s="32">
        <v>19.489999999999998</v>
      </c>
      <c r="E4" s="32">
        <v>34.17</v>
      </c>
      <c r="F4" s="32">
        <v>32.909999999999997</v>
      </c>
      <c r="G4" s="33">
        <v>9.5299999999999994</v>
      </c>
      <c r="J4" s="17"/>
      <c r="K4" s="17"/>
      <c r="L4" s="17"/>
      <c r="M4" s="17"/>
      <c r="N4" s="17"/>
    </row>
    <row r="5" spans="1:16" x14ac:dyDescent="0.3">
      <c r="B5" s="3">
        <v>2</v>
      </c>
      <c r="C5" s="31">
        <v>21.08</v>
      </c>
      <c r="D5" s="32">
        <v>27.66</v>
      </c>
      <c r="E5" s="32">
        <v>50.1</v>
      </c>
      <c r="F5" s="32">
        <v>57.83</v>
      </c>
      <c r="G5" s="33">
        <v>14.09</v>
      </c>
      <c r="J5" s="17"/>
      <c r="K5" s="17"/>
      <c r="L5" s="17"/>
      <c r="M5" s="17"/>
      <c r="N5" s="17"/>
    </row>
    <row r="6" spans="1:16" x14ac:dyDescent="0.3">
      <c r="B6" s="4">
        <v>3</v>
      </c>
      <c r="C6" s="31">
        <v>25.6</v>
      </c>
      <c r="D6" s="32">
        <v>35.770000000000003</v>
      </c>
      <c r="E6" s="32">
        <v>65.87</v>
      </c>
      <c r="F6" s="32">
        <v>82.45</v>
      </c>
      <c r="G6" s="33">
        <v>18.61</v>
      </c>
      <c r="J6" s="17"/>
      <c r="K6" s="17"/>
      <c r="L6" s="17"/>
      <c r="M6" s="17"/>
      <c r="N6" s="17"/>
    </row>
    <row r="7" spans="1:16" x14ac:dyDescent="0.3">
      <c r="B7" s="3">
        <v>4</v>
      </c>
      <c r="C7" s="31">
        <v>34.21</v>
      </c>
      <c r="D7" s="32">
        <v>46.03</v>
      </c>
      <c r="E7" s="32">
        <v>88.31</v>
      </c>
      <c r="F7" s="32">
        <v>114.47</v>
      </c>
      <c r="G7" s="33">
        <v>25.71</v>
      </c>
      <c r="J7" s="17"/>
      <c r="K7" s="17"/>
      <c r="L7" s="17"/>
      <c r="M7" s="17"/>
      <c r="N7" s="17"/>
    </row>
    <row r="8" spans="1:16" x14ac:dyDescent="0.3">
      <c r="B8" s="3">
        <v>5</v>
      </c>
      <c r="C8" s="31">
        <v>42.81</v>
      </c>
      <c r="D8" s="32">
        <v>57.3</v>
      </c>
      <c r="E8" s="32">
        <v>109.85</v>
      </c>
      <c r="F8" s="32">
        <v>146</v>
      </c>
      <c r="G8" s="33">
        <v>32.81</v>
      </c>
      <c r="J8" s="17"/>
      <c r="K8" s="17"/>
      <c r="L8" s="17"/>
      <c r="M8" s="17"/>
      <c r="N8" s="17"/>
    </row>
    <row r="9" spans="1:16" x14ac:dyDescent="0.3">
      <c r="B9" s="3">
        <v>7</v>
      </c>
      <c r="C9" s="31">
        <v>60.43</v>
      </c>
      <c r="D9" s="32">
        <v>77.3</v>
      </c>
      <c r="E9" s="32">
        <v>153.4</v>
      </c>
      <c r="F9" s="32">
        <v>204.58</v>
      </c>
      <c r="G9" s="33">
        <v>45.46</v>
      </c>
      <c r="J9" s="17"/>
      <c r="K9" s="17"/>
      <c r="L9" s="17"/>
      <c r="M9" s="17"/>
      <c r="N9" s="17"/>
    </row>
    <row r="10" spans="1:16" x14ac:dyDescent="0.3">
      <c r="B10" s="4">
        <v>10</v>
      </c>
      <c r="C10" s="31">
        <v>75.39</v>
      </c>
      <c r="D10" s="32">
        <v>100.97</v>
      </c>
      <c r="E10" s="32">
        <v>173.51</v>
      </c>
      <c r="F10" s="32">
        <v>239.62</v>
      </c>
      <c r="G10" s="33">
        <v>58.03</v>
      </c>
      <c r="J10" s="17"/>
      <c r="K10" s="17"/>
      <c r="L10" s="17"/>
      <c r="M10" s="17"/>
      <c r="N10" s="17"/>
    </row>
    <row r="11" spans="1:16" x14ac:dyDescent="0.3">
      <c r="B11" s="3">
        <v>20</v>
      </c>
      <c r="C11" s="31">
        <v>90.72</v>
      </c>
      <c r="D11" s="32">
        <v>124.7</v>
      </c>
      <c r="E11" s="32">
        <v>193.71</v>
      </c>
      <c r="F11" s="32">
        <v>273.10000000000002</v>
      </c>
      <c r="G11" s="33">
        <v>71.010000000000005</v>
      </c>
      <c r="J11" s="17"/>
      <c r="K11" s="17"/>
      <c r="L11" s="17"/>
      <c r="M11" s="17"/>
      <c r="N11" s="17"/>
    </row>
    <row r="12" spans="1:16" ht="16.2" thickBot="1" x14ac:dyDescent="0.35">
      <c r="B12" s="5">
        <v>30</v>
      </c>
      <c r="C12" s="34">
        <v>102.27</v>
      </c>
      <c r="D12" s="35">
        <v>141.46</v>
      </c>
      <c r="E12" s="35">
        <v>206.51</v>
      </c>
      <c r="F12" s="35">
        <v>291.18</v>
      </c>
      <c r="G12" s="36">
        <v>81.11</v>
      </c>
      <c r="J12" s="17"/>
      <c r="K12" s="17"/>
      <c r="L12" s="17"/>
      <c r="M12" s="17"/>
      <c r="N12" s="17"/>
    </row>
    <row r="15" spans="1:16" x14ac:dyDescent="0.3">
      <c r="A15" t="s">
        <v>7</v>
      </c>
    </row>
    <row r="16" spans="1:16" x14ac:dyDescent="0.3">
      <c r="A1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7A5D-E729-42F7-ABB8-1CDAB216BEB3}">
  <dimension ref="A1:H33"/>
  <sheetViews>
    <sheetView tabSelected="1" workbookViewId="0">
      <selection activeCell="B3" sqref="B3"/>
    </sheetView>
  </sheetViews>
  <sheetFormatPr defaultColWidth="10.69921875" defaultRowHeight="15" x14ac:dyDescent="0.25"/>
  <cols>
    <col min="1" max="1" width="10.69921875" style="9"/>
    <col min="2" max="3" width="17.69921875" style="9" bestFit="1" customWidth="1"/>
    <col min="4" max="4" width="11.09765625" style="9" bestFit="1" customWidth="1"/>
    <col min="5" max="6" width="10.69921875" style="9"/>
    <col min="7" max="7" width="21.69921875" style="9" bestFit="1" customWidth="1"/>
    <col min="8" max="9" width="31.59765625" style="9" bestFit="1" customWidth="1"/>
    <col min="10" max="16384" width="10.69921875" style="9"/>
  </cols>
  <sheetData>
    <row r="1" spans="1:8" x14ac:dyDescent="0.25">
      <c r="A1" s="9" t="s">
        <v>6</v>
      </c>
      <c r="B1" s="16">
        <v>45042</v>
      </c>
      <c r="C1" s="16">
        <v>45861</v>
      </c>
    </row>
    <row r="3" spans="1:8" ht="15.6" x14ac:dyDescent="0.25">
      <c r="A3" s="15" t="s">
        <v>10</v>
      </c>
      <c r="B3" s="15" t="s">
        <v>9</v>
      </c>
      <c r="C3" s="15" t="s">
        <v>9</v>
      </c>
      <c r="D3" s="9" t="s">
        <v>17</v>
      </c>
      <c r="E3" s="9" t="s">
        <v>18</v>
      </c>
      <c r="H3" s="9" t="s">
        <v>17</v>
      </c>
    </row>
    <row r="4" spans="1:8" x14ac:dyDescent="0.25">
      <c r="A4" s="39">
        <f>1/12</f>
        <v>8.3333333333333329E-2</v>
      </c>
      <c r="B4" s="14">
        <v>2.516</v>
      </c>
      <c r="C4" s="14">
        <f>AVERAGE(1.84,2.09)</f>
        <v>1.9649999999999999</v>
      </c>
      <c r="G4" s="9">
        <v>1</v>
      </c>
      <c r="H4" s="37">
        <f t="shared" ref="H4:H33" si="0">B$26
+B$27*((1-EXP(-G4/B$29))/(G4/B$29))
+B$28*(((1-EXP(-G4/B$29))/(G4/B$29))-EXP(-G4/B$29))
+B$31*(((1-EXP(-G4/B$30))/(G4/B$30))-EXP(-G4/B$30))</f>
        <v>3.2327294803469395</v>
      </c>
    </row>
    <row r="5" spans="1:8" x14ac:dyDescent="0.25">
      <c r="A5" s="13">
        <v>0.25</v>
      </c>
      <c r="B5" s="12">
        <v>2.6469999999999998</v>
      </c>
      <c r="C5" s="12">
        <f>AVERAGE(1.76,1.86)</f>
        <v>1.81</v>
      </c>
      <c r="G5" s="9">
        <v>2</v>
      </c>
      <c r="H5" s="37">
        <f t="shared" si="0"/>
        <v>2.8540467855311089</v>
      </c>
    </row>
    <row r="6" spans="1:8" x14ac:dyDescent="0.25">
      <c r="A6" s="13">
        <v>0.5</v>
      </c>
      <c r="B6" s="12">
        <v>3.08</v>
      </c>
      <c r="C6" s="12">
        <f>AVERAGE(1.99,2.15)</f>
        <v>2.0699999999999998</v>
      </c>
      <c r="G6" s="9">
        <v>3</v>
      </c>
      <c r="H6" s="37">
        <f t="shared" si="0"/>
        <v>2.6122245647754587</v>
      </c>
    </row>
    <row r="7" spans="1:8" x14ac:dyDescent="0.25">
      <c r="A7" s="13">
        <v>0.75</v>
      </c>
      <c r="B7" s="12">
        <v>3.14</v>
      </c>
      <c r="C7" s="12">
        <f>AVERAGE(1.92,2.17)</f>
        <v>2.0449999999999999</v>
      </c>
      <c r="G7" s="9">
        <v>4</v>
      </c>
      <c r="H7" s="37">
        <f t="shared" si="0"/>
        <v>2.465268077997838</v>
      </c>
    </row>
    <row r="8" spans="1:8" x14ac:dyDescent="0.25">
      <c r="A8" s="13">
        <v>1</v>
      </c>
      <c r="B8" s="12">
        <v>3.2389999999999999</v>
      </c>
      <c r="C8" s="12">
        <v>1.9670000000000001</v>
      </c>
      <c r="D8" s="9">
        <f t="shared" ref="D8:D21" si="1">B$26
+B$27*((1-EXP(-A8/B$29))/(A8/B$29))
+B$28*(((1-EXP(-A8/B$29))/(A8/B$29))-EXP(-A8/B$29))
+B$31*(((1-EXP(-A8/B$30))/(A8/B$30))-EXP(-A8/B$30))</f>
        <v>3.2327294803469395</v>
      </c>
      <c r="E8" s="9">
        <f t="shared" ref="E8:E21" si="2">(B8-D8)^2</f>
        <v>3.9319416719416191E-5</v>
      </c>
      <c r="G8" s="9">
        <v>5</v>
      </c>
      <c r="H8" s="37">
        <f t="shared" si="0"/>
        <v>2.38267356667264</v>
      </c>
    </row>
    <row r="9" spans="1:8" x14ac:dyDescent="0.25">
      <c r="A9" s="13">
        <v>2</v>
      </c>
      <c r="B9" s="12">
        <v>2.8330000000000002</v>
      </c>
      <c r="C9" s="12">
        <v>1.972</v>
      </c>
      <c r="D9" s="9">
        <f t="shared" si="1"/>
        <v>2.8540467855311089</v>
      </c>
      <c r="E9" s="9">
        <f t="shared" si="2"/>
        <v>4.4296718119248756E-4</v>
      </c>
      <c r="G9" s="9">
        <v>6</v>
      </c>
      <c r="H9" s="37">
        <f t="shared" si="0"/>
        <v>2.3428540768277779</v>
      </c>
    </row>
    <row r="10" spans="1:8" x14ac:dyDescent="0.25">
      <c r="A10" s="13">
        <v>3</v>
      </c>
      <c r="B10" s="12">
        <v>2.625</v>
      </c>
      <c r="C10" s="12">
        <v>2.0635000000000003</v>
      </c>
      <c r="D10" s="9">
        <f t="shared" si="1"/>
        <v>2.6122245647754587</v>
      </c>
      <c r="E10" s="9">
        <f t="shared" si="2"/>
        <v>1.6321174517645E-4</v>
      </c>
      <c r="G10" s="9">
        <v>7</v>
      </c>
      <c r="H10" s="37">
        <f t="shared" si="0"/>
        <v>2.3307797258652583</v>
      </c>
    </row>
    <row r="11" spans="1:8" x14ac:dyDescent="0.25">
      <c r="A11" s="13">
        <v>4</v>
      </c>
      <c r="B11" s="12">
        <v>2.4630000000000001</v>
      </c>
      <c r="C11" s="12">
        <v>2.1635</v>
      </c>
      <c r="D11" s="9">
        <f t="shared" si="1"/>
        <v>2.465268077997838</v>
      </c>
      <c r="E11" s="9">
        <f t="shared" si="2"/>
        <v>5.1441778042763904E-6</v>
      </c>
      <c r="G11" s="9">
        <v>8</v>
      </c>
      <c r="H11" s="37">
        <f t="shared" si="0"/>
        <v>2.3360976142361105</v>
      </c>
    </row>
    <row r="12" spans="1:8" x14ac:dyDescent="0.25">
      <c r="A12" s="13">
        <v>5</v>
      </c>
      <c r="B12" s="12">
        <v>2.4049999999999998</v>
      </c>
      <c r="C12" s="12">
        <v>2.2534999999999998</v>
      </c>
      <c r="D12" s="9">
        <f t="shared" si="1"/>
        <v>2.38267356667264</v>
      </c>
      <c r="E12" s="9">
        <f t="shared" si="2"/>
        <v>4.984696251210442E-4</v>
      </c>
      <c r="G12" s="9">
        <v>9</v>
      </c>
      <c r="H12" s="37">
        <f t="shared" si="0"/>
        <v>2.3517320081205502</v>
      </c>
    </row>
    <row r="13" spans="1:8" x14ac:dyDescent="0.25">
      <c r="A13" s="13">
        <v>6</v>
      </c>
      <c r="B13" s="12">
        <v>2.355</v>
      </c>
      <c r="C13" s="12">
        <v>2.3365</v>
      </c>
      <c r="D13" s="9">
        <f t="shared" si="1"/>
        <v>2.3428540768277779</v>
      </c>
      <c r="E13" s="9">
        <f t="shared" si="2"/>
        <v>1.475234497055211E-4</v>
      </c>
      <c r="G13" s="9">
        <v>10</v>
      </c>
      <c r="H13" s="37">
        <f t="shared" si="0"/>
        <v>2.3728804581851621</v>
      </c>
    </row>
    <row r="14" spans="1:8" x14ac:dyDescent="0.25">
      <c r="A14" s="13">
        <v>7</v>
      </c>
      <c r="B14" s="12">
        <v>2.323</v>
      </c>
      <c r="C14" s="12">
        <v>2.415</v>
      </c>
      <c r="D14" s="9">
        <f t="shared" si="1"/>
        <v>2.3307797258652583</v>
      </c>
      <c r="E14" s="9">
        <f t="shared" si="2"/>
        <v>6.0524134538569384E-5</v>
      </c>
      <c r="G14" s="9">
        <v>11</v>
      </c>
      <c r="H14" s="37">
        <f t="shared" si="0"/>
        <v>2.3963093375427924</v>
      </c>
    </row>
    <row r="15" spans="1:8" x14ac:dyDescent="0.25">
      <c r="A15" s="13">
        <v>8</v>
      </c>
      <c r="B15" s="12">
        <v>2.3130000000000002</v>
      </c>
      <c r="C15" s="12">
        <v>2.4855</v>
      </c>
      <c r="D15" s="9">
        <f t="shared" si="1"/>
        <v>2.3360976142361105</v>
      </c>
      <c r="E15" s="9">
        <f t="shared" si="2"/>
        <v>5.3349978340016711E-4</v>
      </c>
      <c r="G15" s="9">
        <v>12</v>
      </c>
      <c r="H15" s="37">
        <f t="shared" si="0"/>
        <v>2.4198655535386844</v>
      </c>
    </row>
    <row r="16" spans="1:8" x14ac:dyDescent="0.25">
      <c r="A16" s="13">
        <v>9</v>
      </c>
      <c r="B16" s="12">
        <v>2.319</v>
      </c>
      <c r="C16" s="12">
        <v>2.5499999999999998</v>
      </c>
      <c r="D16" s="9">
        <f t="shared" si="1"/>
        <v>2.3517320081205502</v>
      </c>
      <c r="E16" s="9">
        <f t="shared" si="2"/>
        <v>1.0713843556037653E-3</v>
      </c>
      <c r="G16" s="9">
        <v>13</v>
      </c>
      <c r="H16" s="37">
        <f t="shared" si="0"/>
        <v>2.4421401986570315</v>
      </c>
    </row>
    <row r="17" spans="1:8" x14ac:dyDescent="0.25">
      <c r="A17" s="13">
        <v>10</v>
      </c>
      <c r="B17" s="12">
        <v>2.3780000000000001</v>
      </c>
      <c r="C17" s="12">
        <v>2.6070000000000002</v>
      </c>
      <c r="D17" s="9">
        <f t="shared" si="1"/>
        <v>2.3728804581851621</v>
      </c>
      <c r="E17" s="9">
        <f t="shared" si="2"/>
        <v>2.6209708393874558E-5</v>
      </c>
      <c r="G17" s="9">
        <v>14</v>
      </c>
      <c r="H17" s="37">
        <f t="shared" si="0"/>
        <v>2.4622373336130505</v>
      </c>
    </row>
    <row r="18" spans="1:8" x14ac:dyDescent="0.25">
      <c r="A18" s="13">
        <v>15</v>
      </c>
      <c r="B18" s="12">
        <v>2.5350000000000001</v>
      </c>
      <c r="C18" s="12">
        <v>2.7995000000000001</v>
      </c>
      <c r="D18" s="9">
        <f t="shared" si="1"/>
        <v>2.4796148970621443</v>
      </c>
      <c r="E18" s="9">
        <f t="shared" si="2"/>
        <v>3.0675096274368845E-3</v>
      </c>
      <c r="G18" s="9">
        <v>15</v>
      </c>
      <c r="H18" s="37">
        <f t="shared" si="0"/>
        <v>2.4796148970621443</v>
      </c>
    </row>
    <row r="19" spans="1:8" x14ac:dyDescent="0.25">
      <c r="A19" s="13">
        <v>20</v>
      </c>
      <c r="B19" s="12">
        <v>2.5169999999999999</v>
      </c>
      <c r="C19" s="12">
        <v>2.847</v>
      </c>
      <c r="D19" s="9">
        <f t="shared" si="1"/>
        <v>2.5201533514421643</v>
      </c>
      <c r="E19" s="9">
        <f t="shared" si="2"/>
        <v>9.9436253178005709E-6</v>
      </c>
      <c r="G19" s="9">
        <v>16</v>
      </c>
      <c r="H19" s="37">
        <f t="shared" si="0"/>
        <v>2.4939749179336741</v>
      </c>
    </row>
    <row r="20" spans="1:8" x14ac:dyDescent="0.25">
      <c r="A20" s="13">
        <v>25</v>
      </c>
      <c r="B20" s="12">
        <v>2.4359999999999999</v>
      </c>
      <c r="C20" s="12">
        <v>2.8304999999999998</v>
      </c>
      <c r="D20" s="9">
        <f t="shared" si="1"/>
        <v>2.4909160141656468</v>
      </c>
      <c r="E20" s="9">
        <f t="shared" si="2"/>
        <v>3.0157686118415248E-3</v>
      </c>
      <c r="G20" s="9">
        <v>17</v>
      </c>
      <c r="H20" s="37">
        <f t="shared" si="0"/>
        <v>2.5051874242513881</v>
      </c>
    </row>
    <row r="21" spans="1:8" x14ac:dyDescent="0.25">
      <c r="A21" s="11">
        <v>30</v>
      </c>
      <c r="B21" s="10">
        <v>2.444</v>
      </c>
      <c r="C21" s="10">
        <v>2.8090000000000002</v>
      </c>
      <c r="D21" s="9">
        <f t="shared" si="1"/>
        <v>2.4128370560344825</v>
      </c>
      <c r="E21" s="9">
        <f t="shared" si="2"/>
        <v>9.7112907659797996E-4</v>
      </c>
      <c r="G21" s="9">
        <v>18</v>
      </c>
      <c r="H21" s="37">
        <f t="shared" si="0"/>
        <v>2.513237438846244</v>
      </c>
    </row>
    <row r="22" spans="1:8" x14ac:dyDescent="0.25">
      <c r="G22" s="9">
        <v>19</v>
      </c>
      <c r="H22" s="37">
        <f t="shared" si="0"/>
        <v>2.5181878622416107</v>
      </c>
    </row>
    <row r="23" spans="1:8" x14ac:dyDescent="0.25">
      <c r="E23" s="9">
        <f>SUM(E8:E21)</f>
        <v>1.0052604518849761E-2</v>
      </c>
      <c r="G23" s="9">
        <v>20</v>
      </c>
      <c r="H23" s="37">
        <f t="shared" si="0"/>
        <v>2.5201533514421643</v>
      </c>
    </row>
    <row r="24" spans="1:8" x14ac:dyDescent="0.25">
      <c r="A24" s="9" t="s">
        <v>17</v>
      </c>
      <c r="G24" s="9">
        <v>21</v>
      </c>
      <c r="H24" s="37">
        <f t="shared" si="0"/>
        <v>2.51928186045286</v>
      </c>
    </row>
    <row r="25" spans="1:8" x14ac:dyDescent="0.25">
      <c r="G25" s="9">
        <v>22</v>
      </c>
      <c r="H25" s="37">
        <f t="shared" si="0"/>
        <v>2.5157415581919307</v>
      </c>
    </row>
    <row r="26" spans="1:8" x14ac:dyDescent="0.25">
      <c r="A26" s="38" t="s">
        <v>16</v>
      </c>
      <c r="B26" s="9">
        <v>-7.1789305544522244E-2</v>
      </c>
      <c r="G26" s="9">
        <v>23</v>
      </c>
      <c r="H26" s="37">
        <f t="shared" si="0"/>
        <v>2.5097115487312003</v>
      </c>
    </row>
    <row r="27" spans="1:8" x14ac:dyDescent="0.25">
      <c r="A27" s="38" t="s">
        <v>15</v>
      </c>
      <c r="B27" s="9">
        <v>3.8753947090658314</v>
      </c>
      <c r="G27" s="9">
        <v>24</v>
      </c>
      <c r="H27" s="37">
        <f t="shared" si="0"/>
        <v>2.5013752998742227</v>
      </c>
    </row>
    <row r="28" spans="1:8" x14ac:dyDescent="0.25">
      <c r="A28" s="38" t="s">
        <v>14</v>
      </c>
      <c r="B28" s="9">
        <v>0.9358763345395541</v>
      </c>
      <c r="G28" s="9">
        <v>25</v>
      </c>
      <c r="H28" s="37">
        <f t="shared" si="0"/>
        <v>2.4909160141656468</v>
      </c>
    </row>
    <row r="29" spans="1:8" x14ac:dyDescent="0.25">
      <c r="A29" s="38" t="s">
        <v>13</v>
      </c>
      <c r="B29" s="9">
        <v>1.5309222445591626</v>
      </c>
      <c r="G29" s="9">
        <v>26</v>
      </c>
      <c r="H29" s="37">
        <f t="shared" si="0"/>
        <v>2.4785134016524495</v>
      </c>
    </row>
    <row r="30" spans="1:8" x14ac:dyDescent="0.25">
      <c r="A30" s="38" t="s">
        <v>12</v>
      </c>
      <c r="B30" s="9">
        <v>14.003992908970238</v>
      </c>
      <c r="G30" s="9">
        <v>27</v>
      </c>
      <c r="H30" s="37">
        <f t="shared" si="0"/>
        <v>2.4643414694948689</v>
      </c>
    </row>
    <row r="31" spans="1:8" x14ac:dyDescent="0.25">
      <c r="A31" s="38" t="s">
        <v>11</v>
      </c>
      <c r="B31" s="9">
        <v>7.6002072442378203</v>
      </c>
      <c r="G31" s="9">
        <v>28</v>
      </c>
      <c r="H31" s="37">
        <f t="shared" si="0"/>
        <v>2.4485670521421765</v>
      </c>
    </row>
    <row r="32" spans="1:8" x14ac:dyDescent="0.25">
      <c r="G32" s="9">
        <v>29</v>
      </c>
      <c r="H32" s="37">
        <f t="shared" si="0"/>
        <v>2.4313488821677161</v>
      </c>
    </row>
    <row r="33" spans="7:8" x14ac:dyDescent="0.25">
      <c r="G33" s="9">
        <v>30</v>
      </c>
      <c r="H33" s="37">
        <f t="shared" si="0"/>
        <v>2.4128370560344825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CDS spread_2023</vt:lpstr>
      <vt:lpstr>CDS spread_2025</vt:lpstr>
      <vt:lpstr>swap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Di Francesco</dc:creator>
  <cp:lastModifiedBy>Riccardo Scala</cp:lastModifiedBy>
  <dcterms:created xsi:type="dcterms:W3CDTF">2023-04-27T12:27:52Z</dcterms:created>
  <dcterms:modified xsi:type="dcterms:W3CDTF">2026-06-27T13:34:09Z</dcterms:modified>
</cp:coreProperties>
</file>